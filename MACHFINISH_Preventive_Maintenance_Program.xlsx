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uel.pimentel\Downloads\"/>
    </mc:Choice>
  </mc:AlternateContent>
  <xr:revisionPtr revIDLastSave="0" documentId="13_ncr:1_{DDACD7F0-0FBD-455C-BCD1-746FCA852E77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Asset Registry" sheetId="1" r:id="rId1"/>
    <sheet name="Maintenance Overview" sheetId="2" r:id="rId2"/>
    <sheet name="PM Schedu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I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C31" i="2"/>
  <c r="B31" i="2"/>
  <c r="B17" i="2"/>
  <c r="B16" i="2"/>
  <c r="B15" i="2"/>
  <c r="B14" i="2"/>
  <c r="B10" i="2"/>
  <c r="B9" i="2"/>
  <c r="B8" i="2"/>
  <c r="B7" i="2"/>
  <c r="B6" i="2"/>
  <c r="N28" i="1"/>
</calcChain>
</file>

<file path=xl/sharedStrings.xml><?xml version="1.0" encoding="utf-8"?>
<sst xmlns="http://schemas.openxmlformats.org/spreadsheetml/2006/main" count="639" uniqueCount="372">
  <si>
    <t>MACHFINISH FACILITY ASSET REGISTRY</t>
  </si>
  <si>
    <t>Equipment Tracking, Electrical Specs, &amp; PM Schedule</t>
  </si>
  <si>
    <t>Asset ID</t>
  </si>
  <si>
    <t>Manufacturer</t>
  </si>
  <si>
    <t>Model No.</t>
  </si>
  <si>
    <t>Serial No.</t>
  </si>
  <si>
    <t>B.O.M. / Job / Order No.</t>
  </si>
  <si>
    <t>Asset Category</t>
  </si>
  <si>
    <t>Facility / Line</t>
  </si>
  <si>
    <t>Voltage / Power</t>
  </si>
  <si>
    <t>Full Load Current</t>
  </si>
  <si>
    <t>Operating Specs / Temp / Capacity</t>
  </si>
  <si>
    <t>Operational Status</t>
  </si>
  <si>
    <t>Criticality</t>
  </si>
  <si>
    <t>Install / Purchase Date</t>
  </si>
  <si>
    <t>Purchase Cost</t>
  </si>
  <si>
    <t>Last Service Date</t>
  </si>
  <si>
    <t>PM Frequency</t>
  </si>
  <si>
    <t>Next Service Due</t>
  </si>
  <si>
    <t>EQ-101</t>
  </si>
  <si>
    <t>Blue M Electric</t>
  </si>
  <si>
    <t>HS-362-1G</t>
  </si>
  <si>
    <t>HS-512</t>
  </si>
  <si>
    <t>78825</t>
  </si>
  <si>
    <t>Industrial Oven</t>
  </si>
  <si>
    <t>Line 1 - Thermal</t>
  </si>
  <si>
    <t>480V / 3PH / 60Hz</t>
  </si>
  <si>
    <t>13.8A</t>
  </si>
  <si>
    <t>Up to 150°C</t>
  </si>
  <si>
    <t>Active</t>
  </si>
  <si>
    <t>High</t>
  </si>
  <si>
    <t>2021-05-15</t>
  </si>
  <si>
    <t>2026-06-01</t>
  </si>
  <si>
    <t>Quarterly</t>
  </si>
  <si>
    <t>2026-09-01</t>
  </si>
  <si>
    <t>EQ-102</t>
  </si>
  <si>
    <t>166 BATCH OVEN</t>
  </si>
  <si>
    <t>DC-5634</t>
  </si>
  <si>
    <t>71082</t>
  </si>
  <si>
    <t>17.0A</t>
  </si>
  <si>
    <t>316°C / 600°F</t>
  </si>
  <si>
    <t>2021-08-10</t>
  </si>
  <si>
    <t>EQ-103</t>
  </si>
  <si>
    <t>HS-3802F</t>
  </si>
  <si>
    <t>HS-186</t>
  </si>
  <si>
    <t>D1-00015</t>
  </si>
  <si>
    <t>208-240V / 3PH / 60Hz</t>
  </si>
  <si>
    <t>9.2A</t>
  </si>
  <si>
    <t>Up to 150°C / 302°F (Max 215°C)</t>
  </si>
  <si>
    <t>Medium</t>
  </si>
  <si>
    <t>2022-02-18</t>
  </si>
  <si>
    <t>EQ-104</t>
  </si>
  <si>
    <t>Thermal Product Solutions (TPS)</t>
  </si>
  <si>
    <t>DCSA - 246 - G - ST350 - HP</t>
  </si>
  <si>
    <t>0701000117 - 01</t>
  </si>
  <si>
    <t>Order: 41655</t>
  </si>
  <si>
    <t>29.0A</t>
  </si>
  <si>
    <t>+316°C / (+600°F) | 21.0 KW</t>
  </si>
  <si>
    <t>2022-09-15</t>
  </si>
  <si>
    <t>EQ-105</t>
  </si>
  <si>
    <t>EM-366GX</t>
  </si>
  <si>
    <t>E3-4201</t>
  </si>
  <si>
    <t>Up to 600°F</t>
  </si>
  <si>
    <t>2020-11-04</t>
  </si>
  <si>
    <t>EQ-106</t>
  </si>
  <si>
    <t>The Grieve Corporation</t>
  </si>
  <si>
    <t>TA-500</t>
  </si>
  <si>
    <t>641468</t>
  </si>
  <si>
    <t>Job: 63188A0501</t>
  </si>
  <si>
    <t>Gas Industrial Oven</t>
  </si>
  <si>
    <t>208V / 3PH / 60Hz</t>
  </si>
  <si>
    <t>4.6A (3/4 HP Motor)</t>
  </si>
  <si>
    <t>Max 450°F | 100,000 BTU/HR</t>
  </si>
  <si>
    <t>2018-04-12</t>
  </si>
  <si>
    <t>EQ-107</t>
  </si>
  <si>
    <t>JPW Industrial Ovens &amp; Furnaces</t>
  </si>
  <si>
    <t>496TULGEPR480V400BTUSR</t>
  </si>
  <si>
    <t>002675</t>
  </si>
  <si>
    <t>7.0A (Motor FLA: 3A)</t>
  </si>
  <si>
    <t>500°F</t>
  </si>
  <si>
    <t>2019-12-01</t>
  </si>
  <si>
    <t>EQ-108</t>
  </si>
  <si>
    <t>Process Technology, USA</t>
  </si>
  <si>
    <t>S4429-3-P1</t>
  </si>
  <si>
    <t>Immersion Heater</t>
  </si>
  <si>
    <t>Process Tank / Wash Line</t>
  </si>
  <si>
    <t>480V / 3PH / 50-60Hz</t>
  </si>
  <si>
    <t>4.8A</t>
  </si>
  <si>
    <t>4000 Watts (Liquid Heater)</t>
  </si>
  <si>
    <t>2023-04-10</t>
  </si>
  <si>
    <t>2026-06-15</t>
  </si>
  <si>
    <t>2026-09-15</t>
  </si>
  <si>
    <t>EQ-109</t>
  </si>
  <si>
    <t>LS Electric</t>
  </si>
  <si>
    <t>LSLV0150S100-2EXNNS</t>
  </si>
  <si>
    <t>550D713006F</t>
  </si>
  <si>
    <t>Panel B 2,4,6</t>
  </si>
  <si>
    <t>Variable Frequency Drive (VFD)</t>
  </si>
  <si>
    <t>Main Control Panel</t>
  </si>
  <si>
    <t>200-240V / 3PH / 50-60Hz</t>
  </si>
  <si>
    <t>Input: 66.7A | Output: 60.0A</t>
  </si>
  <si>
    <t>22.9 kVA | IP66 | Preset: 36/46/56 Hz</t>
  </si>
  <si>
    <t>2024-01-15</t>
  </si>
  <si>
    <t>2026-05-20</t>
  </si>
  <si>
    <t>Semi-Annual</t>
  </si>
  <si>
    <t>2026-11-20</t>
  </si>
  <si>
    <t>EQ-110</t>
  </si>
  <si>
    <t>Eaton</t>
  </si>
  <si>
    <t>Heavy Duty Safety Switch</t>
  </si>
  <si>
    <t>Safety Switch / Disconnect</t>
  </si>
  <si>
    <t>Rooftop / Plant Power</t>
  </si>
  <si>
    <t>600V AC / 250V DC / 60Hz</t>
  </si>
  <si>
    <t>30A</t>
  </si>
  <si>
    <t>Heavy Duty Enclosed Switch</t>
  </si>
  <si>
    <t>2021-06-20</t>
  </si>
  <si>
    <t>2026-01-10</t>
  </si>
  <si>
    <t>Annual</t>
  </si>
  <si>
    <t>2027-01-10</t>
  </si>
  <si>
    <t>EQ-111</t>
  </si>
  <si>
    <t>AeroCool / Essence</t>
  </si>
  <si>
    <t>Evaporative Air Cooler Unit</t>
  </si>
  <si>
    <t>HVAC / Evaporative Cooler</t>
  </si>
  <si>
    <t>Rooftop Unit</t>
  </si>
  <si>
    <t>115V / 230V / 1PH</t>
  </si>
  <si>
    <t>Rooftop Industrial Cooler</t>
  </si>
  <si>
    <t>2020-05-18</t>
  </si>
  <si>
    <t>2026-04-01</t>
  </si>
  <si>
    <t>2026-10-01</t>
  </si>
  <si>
    <t>EQ-112</t>
  </si>
  <si>
    <t>Spray Systems Inc.</t>
  </si>
  <si>
    <t>Finishing System</t>
  </si>
  <si>
    <t>30-3086-03/12254B.1</t>
  </si>
  <si>
    <t>12254A / 12254B.2</t>
  </si>
  <si>
    <t>Spray Booth / Finishing System</t>
  </si>
  <si>
    <t>Paint Line</t>
  </si>
  <si>
    <t>Complete Industrial Finishing System</t>
  </si>
  <si>
    <t>2019-09-10</t>
  </si>
  <si>
    <t>EQ-113</t>
  </si>
  <si>
    <t>Greenheck</t>
  </si>
  <si>
    <t>1B1-CA-5124-75-X</t>
  </si>
  <si>
    <t>16098224</t>
  </si>
  <si>
    <t>Mark: 11,520 CFM</t>
  </si>
  <si>
    <t>Industrial Exhaust Blower / Fan</t>
  </si>
  <si>
    <t>Rooftop Ventilation</t>
  </si>
  <si>
    <t>Max Class RPM: 2250 | 11,520 CFM | 1.75 SP</t>
  </si>
  <si>
    <t>2021-03-15</t>
  </si>
  <si>
    <t>2026-05-10</t>
  </si>
  <si>
    <t>2026-11-10</t>
  </si>
  <si>
    <t>EQ-114</t>
  </si>
  <si>
    <t>C-DE404-P2</t>
  </si>
  <si>
    <t>SN617384</t>
  </si>
  <si>
    <t>Tag: H-001 / Cert: 1373894</t>
  </si>
  <si>
    <t>Digital Temperature Controller</t>
  </si>
  <si>
    <t>Process Line Control Panel</t>
  </si>
  <si>
    <t>40.0A (Max FLA)</t>
  </si>
  <si>
    <t>Digital Temp Controller (DE20 Series)</t>
  </si>
  <si>
    <t>2022-11-05</t>
  </si>
  <si>
    <t>2027-06-01</t>
  </si>
  <si>
    <t>EQ-115</t>
  </si>
  <si>
    <t>New Holland</t>
  </si>
  <si>
    <t>Model K-24</t>
  </si>
  <si>
    <t>Industrial Dryer (W/ Elect Heater)</t>
  </si>
  <si>
    <t>Parts Drying Line</t>
  </si>
  <si>
    <t>440V / 3PH / 60Hz</t>
  </si>
  <si>
    <t>9.5A (FLA) | MCA: 11.9A</t>
  </si>
  <si>
    <t>4000W Heat Element (460V) | Fuse: FRS 12</t>
  </si>
  <si>
    <t>2020-08-22</t>
  </si>
  <si>
    <t>2026-03-15</t>
  </si>
  <si>
    <t>EQ-116</t>
  </si>
  <si>
    <t>TRU - AIRE Industries, Inc.</t>
  </si>
  <si>
    <t>900 Series Diffuser / Grille</t>
  </si>
  <si>
    <t>L.A. CITY RR 7837</t>
  </si>
  <si>
    <t>HVAC Air Distribution / Ductwork</t>
  </si>
  <si>
    <t>Building HVAC</t>
  </si>
  <si>
    <t>UL 181 Compliant Ductwork / Grille</t>
  </si>
  <si>
    <t>Low</t>
  </si>
  <si>
    <t>2018-06-10</t>
  </si>
  <si>
    <t>2025-10-01</t>
  </si>
  <si>
    <t>EQ-117</t>
  </si>
  <si>
    <t>3S9423M-3-P2</t>
  </si>
  <si>
    <t>Listed E73679</t>
  </si>
  <si>
    <t>Immersion Type Liquid Heater</t>
  </si>
  <si>
    <t>10.8A</t>
  </si>
  <si>
    <t>9000 Watts (Liquid Heater)</t>
  </si>
  <si>
    <t>2023-05-10</t>
  </si>
  <si>
    <t>EQ-118</t>
  </si>
  <si>
    <t>Bison / AMETEK (Lamb)</t>
  </si>
  <si>
    <t>116196-00</t>
  </si>
  <si>
    <t>FF6</t>
  </si>
  <si>
    <t>09/02/25</t>
  </si>
  <si>
    <t>Blower / Vacuum Motor</t>
  </si>
  <si>
    <t>Exhaust / Dust Collection System</t>
  </si>
  <si>
    <t>120V / 1PH / 60Hz</t>
  </si>
  <si>
    <t>Blower Motor Assembly (UL E47185)</t>
  </si>
  <si>
    <t>2022-04-18</t>
  </si>
  <si>
    <t>2026-05-01</t>
  </si>
  <si>
    <t>2026-11-01</t>
  </si>
  <si>
    <t>EQ-121</t>
  </si>
  <si>
    <t>International Comfort Products (ICP)</t>
  </si>
  <si>
    <t>HHP024AKC3</t>
  </si>
  <si>
    <t>E043050940</t>
  </si>
  <si>
    <t>Part: 328858-4144</t>
  </si>
  <si>
    <t>HVAC Heat Pump / Condenser</t>
  </si>
  <si>
    <t>208/230V / 1PH / 60Hz</t>
  </si>
  <si>
    <t>16.3A (MCA) | Max Fuse: 25A</t>
  </si>
  <si>
    <t>Compressor: 11.9A (RLA) | Fan: 1.4A | R-22</t>
  </si>
  <si>
    <t>2021-04-15</t>
  </si>
  <si>
    <t>EQ-122</t>
  </si>
  <si>
    <t>Empire Abrasive Equipment Co.</t>
  </si>
  <si>
    <t>PF-3648</t>
  </si>
  <si>
    <t>7662</t>
  </si>
  <si>
    <t>PRO - FINISH</t>
  </si>
  <si>
    <t>Abrasive Blasting Cabinet</t>
  </si>
  <si>
    <t>Surface Prep / Finishing Bay</t>
  </si>
  <si>
    <t>Heavy-Duty Abrasive Blast Cabinet</t>
  </si>
  <si>
    <t>2020-09-12</t>
  </si>
  <si>
    <t>2026-03-20</t>
  </si>
  <si>
    <t>2026-06-20</t>
  </si>
  <si>
    <t>EQ-123</t>
  </si>
  <si>
    <t>GE Appliances</t>
  </si>
  <si>
    <t>GIE16GSHCRSS</t>
  </si>
  <si>
    <t>TG792984</t>
  </si>
  <si>
    <t>245D1017P025</t>
  </si>
  <si>
    <t>Breakroom Refrigerator / Freezer</t>
  </si>
  <si>
    <t>Facility Breakroom</t>
  </si>
  <si>
    <t>110-127V / 1PH / 60Hz</t>
  </si>
  <si>
    <t>6.5A</t>
  </si>
  <si>
    <t>100V 50Hz Opt | R134a (4.375 oz)</t>
  </si>
  <si>
    <t>2022-10-05</t>
  </si>
  <si>
    <t>2025-10-15</t>
  </si>
  <si>
    <t>2026-10-15</t>
  </si>
  <si>
    <t>EQ-124</t>
  </si>
  <si>
    <t>KAESER KOMPRESSOREN</t>
  </si>
  <si>
    <t>SFC 75S</t>
  </si>
  <si>
    <t>1012 - 7120537</t>
  </si>
  <si>
    <t>Material: 101356.2</t>
  </si>
  <si>
    <t>Rotary Screw Air Compressor</t>
  </si>
  <si>
    <t>Compressor Room</t>
  </si>
  <si>
    <t>460Y/266V / 3PH / 60Hz</t>
  </si>
  <si>
    <t>137A (Drive Motor: 152A)</t>
  </si>
  <si>
    <t>100 HP | 125 psig | 440 cfm | Fuse: 200A Class AJT</t>
  </si>
  <si>
    <t>2019-07-01</t>
  </si>
  <si>
    <t>Monthly</t>
  </si>
  <si>
    <t>2026-07-15</t>
  </si>
  <si>
    <t>EQ-125</t>
  </si>
  <si>
    <t>Nidec Motor Corporation (U.S. MOTORS)</t>
  </si>
  <si>
    <t>HE22 (Catalog: D3P2D)</t>
  </si>
  <si>
    <t>B 05 7736780 - 0066 M 0014</t>
  </si>
  <si>
    <t>Frame: 182T</t>
  </si>
  <si>
    <t>3-Phase AC Electric Motor</t>
  </si>
  <si>
    <t>Plant Maintenance / Equipment Drive</t>
  </si>
  <si>
    <t>208-230/460V / 3PH / 60Hz</t>
  </si>
  <si>
    <t>8.30-7.80 / 3.90A</t>
  </si>
  <si>
    <t>3.0 HP | 1770 RPM | SF 1.15 | Inverter Duty 20:1 VT &amp; 4:1 CT</t>
  </si>
  <si>
    <t>2022-03-10</t>
  </si>
  <si>
    <t>Total Valuation</t>
  </si>
  <si>
    <t>MACHFINISH MAINTENANCE PROGRAM OVERVIEW</t>
  </si>
  <si>
    <t>Executive Summary, Criticality Matrix, Location Breakdown &amp; PM Schedules</t>
  </si>
  <si>
    <t>1. Key Metrics &amp; Portfolio Summary</t>
  </si>
  <si>
    <t>Metric Description</t>
  </si>
  <si>
    <t>Value</t>
  </si>
  <si>
    <t>Total Active Equipment Units</t>
  </si>
  <si>
    <t>Total Asset Portfolio Valuation</t>
  </si>
  <si>
    <t>High Criticality Assets (65.2%)</t>
  </si>
  <si>
    <t>Medium Criticality Assets (26.1%)</t>
  </si>
  <si>
    <t>Low Criticality Assets (8.7%)</t>
  </si>
  <si>
    <t>2. Preventive Maintenance Schedule Matrix</t>
  </si>
  <si>
    <t>Unit Count</t>
  </si>
  <si>
    <t>Associated Asset IDs</t>
  </si>
  <si>
    <t>Maintenance Scope &amp; Key Focus</t>
  </si>
  <si>
    <t>Kaeser Screw Compressor: Check fluid levels, clean air filters, test automatic condensate drains, inspect belt drive, monitor pressure/temp.</t>
  </si>
  <si>
    <t>EQ-101 to 108, EQ-112, EQ-115, EQ-117, EQ-122</t>
  </si>
  <si>
    <t>Ovens, Heaters, Finishing &amp; Blasting: Thermocouple calibration, heating element amp draw, exhaust draft check, door seal gaskets, booth filters.</t>
  </si>
  <si>
    <t>EQ-109, EQ-111, EQ-113, EQ-118, EQ-121, EQ-125</t>
  </si>
  <si>
    <t>Motors, VFDs, Blowers &amp; HVAC: Terminal torque checks, thermal imaging, shaft alignment, bearing lubrication (182T frame), condenser cleaning.</t>
  </si>
  <si>
    <t>EQ-110, EQ-114, EQ-116, EQ-123</t>
  </si>
  <si>
    <t>Safety, Controls &amp; Facilities: Disconnect contact inspection, digital controller recalibration, ductwork airflow balance check, containment seals.</t>
  </si>
  <si>
    <t>3. Facility Line &amp; Asset Location Breakdown</t>
  </si>
  <si>
    <t>Asset Count</t>
  </si>
  <si>
    <t>Line Asset Valuation</t>
  </si>
  <si>
    <t>Primary Equipment Types</t>
  </si>
  <si>
    <t>Electric &amp; Gas Ovens (EQ-101 to EQ-107)</t>
  </si>
  <si>
    <t>Spray Booth / Finishing System (EQ-112)</t>
  </si>
  <si>
    <t>Kaeser 100 HP Screw Compressor (EQ-124)</t>
  </si>
  <si>
    <t>Industrial Dryer with Electric Heat (EQ-115)</t>
  </si>
  <si>
    <t>Rooftop Units &amp; Ventilation</t>
  </si>
  <si>
    <t>Heat Pump, Blower Fan &amp; Evaporative Cooler (EQ-111, 113, 121)</t>
  </si>
  <si>
    <t>Abrasive Blasting Cabinet (EQ-122)</t>
  </si>
  <si>
    <t>Immersion Liquid Heaters (EQ-108, 117)</t>
  </si>
  <si>
    <t>Control Panels &amp; Power Distribution</t>
  </si>
  <si>
    <t>LS VFD (EQ-109), Temp Controller (EQ-114), Safety Switch (EQ-110)</t>
  </si>
  <si>
    <t>Plant Maintenance Drive &amp; Support</t>
  </si>
  <si>
    <t>Electric Motor (EQ-125), Dust Vacuum (EQ-118), Ductwork, Breakroom</t>
  </si>
  <si>
    <t>TOTALS</t>
  </si>
  <si>
    <t>MACHFINISH PREVENTIVE MAINTENANCE (PM) SCHEDULE</t>
  </si>
  <si>
    <t>Master Maintenance Execution Plan, Recurring Tasks, and Work Order Calendar</t>
  </si>
  <si>
    <t>Equipment Description</t>
  </si>
  <si>
    <t>Assigned Task / Service Standard</t>
  </si>
  <si>
    <t>Est. Labor (Hrs)</t>
  </si>
  <si>
    <t>Required Parts / Consumables</t>
  </si>
  <si>
    <t>Completion Status</t>
  </si>
  <si>
    <t>KAESER Rotary Screw Air Compressor (SFC 75S)</t>
  </si>
  <si>
    <t>Inspect oil level/color, test automatic condensate drains, clean intake air filter element, inspect belt tension, check operating pressure &amp; temp.</t>
  </si>
  <si>
    <t>Air Filter Element (101356.2), Compressor Synthetic Fluid</t>
  </si>
  <si>
    <t>Scheduled</t>
  </si>
  <si>
    <t>Blue M Industrial Oven (HS-362-1G)</t>
  </si>
  <si>
    <t>Calibrate temperature controller, inspect heating elements &amp; contactors, clean blower wheel, inspect door silicone seals/gaskets.</t>
  </si>
  <si>
    <t>Door Gasket Strip, Contactor Kit</t>
  </si>
  <si>
    <t>Blue M Batch Oven (166 BATCH)</t>
  </si>
  <si>
    <t>High-temp thermal element resistance test, verify safety over-temp cutoff, lubricate blower motor bearings, check door latch alignment.</t>
  </si>
  <si>
    <t>Heating Element Spares, High-Temp Sealant</t>
  </si>
  <si>
    <t>Blue M Industrial Oven (HS-3802F)</t>
  </si>
  <si>
    <t>Inspect heating coil connections, calibrate digital thermocouple, clean interior chamber, check exhaust damper position.</t>
  </si>
  <si>
    <t>Thermocouple Probe (Type J/K)</t>
  </si>
  <si>
    <t>TPS Industrial Oven (DCSA-246)</t>
  </si>
  <si>
    <t>Inspect 21.0 kW heating bank terminals, verify air circulation switch operation, clean recirculation fan, inspect insulation seals.</t>
  </si>
  <si>
    <t>21kW Contactor Set, Door Seal Gasket</t>
  </si>
  <si>
    <t>Blue M Industrial Oven (EM-366GX)</t>
  </si>
  <si>
    <t>Test high-limit control switch, inspect electrical heating elements, clean ventilation duct connections, check door hinges/latches.</t>
  </si>
  <si>
    <t>High-Limit Switch Relay</t>
  </si>
  <si>
    <t>The Grieve Corp Gas Oven (TA-500)</t>
  </si>
  <si>
    <t>Inspect 100k BTU gas burner assembly, check spark igniter &amp; flame rod, test gas safety shut-off valve, lubricate 3/4 HP blower motor.</t>
  </si>
  <si>
    <t>Igniter Electrode, Flame Sensor Rod</t>
  </si>
  <si>
    <t>JPW Industrial Oven (496TULGEPR)</t>
  </si>
  <si>
    <t>Check heater coil current draw (FLA 7.0A), test safety interlocks, clean recirculation fan blades, inspect cabinet insulation.</t>
  </si>
  <si>
    <t>Safety Interlock Switch</t>
  </si>
  <si>
    <t>Process Tech Immersion Heater (S4429)</t>
  </si>
  <si>
    <t>Inspect PFA fluoropolymer coating for erosion, check 4kW heating element impedance, verify liquid level cutoff sensor, clean tank scale build-up.</t>
  </si>
  <si>
    <t>Liquid Level Sensor Probe</t>
  </si>
  <si>
    <t>Spray Systems Finishing System</t>
  </si>
  <si>
    <t>Replace exhaust arrestor filter media, check duct static pressure, inspect fluid spray pumps &amp; lines, clean exhaust fan blades.</t>
  </si>
  <si>
    <t>Paint Arrestor Filter Media, Pump Seal Kit</t>
  </si>
  <si>
    <t>New Holland Industrial Dryer (K-24)</t>
  </si>
  <si>
    <t>Inspect 4000W electric heating elements, test lid safety interlock switch, check motor drive V-belt tension, grease basket spindle bearings.</t>
  </si>
  <si>
    <t>Drive Belt, FRS 12 Fuses</t>
  </si>
  <si>
    <t>Process Tech Immersion Liquid Heater</t>
  </si>
  <si>
    <t>Inspect 9000W heating element jacket, verify terminal box water tightness, test ground fault circuit, clean tank sludge build-up.</t>
  </si>
  <si>
    <t>Terminal Gasket Set</t>
  </si>
  <si>
    <t>Empire Abrasive Blast Cabinet (PF-3648)</t>
  </si>
  <si>
    <t>Inspect blast nozzle &amp; air mixing valve wear, replace dust collector filter cartridge, check door window protective film, inspect blast gloves.</t>
  </si>
  <si>
    <t>Blast Nozzle (Boron Carbide), Filter Cartridge</t>
  </si>
  <si>
    <t>LS Electric VFD Panel (LSLV0150S100)</t>
  </si>
  <si>
    <t>Clean heat sink cooling fan &amp; enclosure air intake, retighten power terminal screws to spec, check DC bus capacitor voltage, review fault log.</t>
  </si>
  <si>
    <t>Panel Intake Dust Filter</t>
  </si>
  <si>
    <t>AeroCool Evaporative Air Cooler Unit</t>
  </si>
  <si>
    <t>Inspect water distribution lines &amp; pads, flush sump basin, lubricate blower bearings, check belt tension &amp; pulley alignment.</t>
  </si>
  <si>
    <t>Cooler Media Pads, Drive Belt</t>
  </si>
  <si>
    <t>Greenheck Exhaust Blower (1B1-CA)</t>
  </si>
  <si>
    <t>Inspect 11,520 CFM blower wheel balance, grease shaft bearings, check V-belt tension/wear, inspect flexible duct connections.</t>
  </si>
  <si>
    <t>V-Belt, Bearing Grease (Lithium Complex)</t>
  </si>
  <si>
    <t>Bison / AMETEK Blower Motor (116196)</t>
  </si>
  <si>
    <t>Inspect motor carbon brushes for wear, clean housing cooling slots, test vacuum suction performance, inspect wiring leads.</t>
  </si>
  <si>
    <t>Replacement Carbon Brushes</t>
  </si>
  <si>
    <t>ICP Rooftop Heat Pump / Condenser</t>
  </si>
  <si>
    <t>Clean condenser coils, check R-22 operating pressures, measure compressor FLA (11.9A), inspect fan motor capacitor, flush condensate drain.</t>
  </si>
  <si>
    <t>Air Filters, Compressor Capacitor</t>
  </si>
  <si>
    <t>Nidec 3-Phase Electric Motor (182T Frame)</t>
  </si>
  <si>
    <t>Grease motor bearings (6206-2Z), check shaft alignment &amp; mounting bolts, measure winding insulation resistance (Megger test), check terminal box connections.</t>
  </si>
  <si>
    <t>Polyurea Bearing Grease</t>
  </si>
  <si>
    <t>Eaton Heavy Duty Safety Switch (30A)</t>
  </si>
  <si>
    <t>Perform infrared thermography scan under load, inspect fuse clips &amp; contact blade corrosion, test mechanical door interlock.</t>
  </si>
  <si>
    <t>30A Fuses, Contact Cleaner</t>
  </si>
  <si>
    <t>Process Tech Digital Temp Controller</t>
  </si>
  <si>
    <t>Calibrate digital temperature display against reference standard, check solid-state relay (SSR) output, inspect control wiring terminals.</t>
  </si>
  <si>
    <t>Calibration Ref Probe</t>
  </si>
  <si>
    <t>TRU-AIRE HVAC Ductwork / Diffuser Grille</t>
  </si>
  <si>
    <t>Inspect duct connections for air leaks, clean diffusers &amp; supply grilles, check volume damper control levers.</t>
  </si>
  <si>
    <t>Duct Sealing Tape, Cleaning Solution</t>
  </si>
  <si>
    <t>GE Breakroom Refrigerator / Freezer</t>
  </si>
  <si>
    <t>Clean condenser coils &amp; compressor compartment, inspect magnetic door gaskets, verify temperature settings (37°F / 0°F), clean drain line.</t>
  </si>
  <si>
    <t>Coil Brush, Door Gasket Spray</t>
  </si>
  <si>
    <t>Total PM Labor Hours per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</si>
</sst>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7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2"/>
      <color rgb="FF1F4E7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0" borderId="2" xfId="0" applyFont="1" applyBorder="1"/>
    <xf numFmtId="0" fontId="0" fillId="0" borderId="2" xfId="0" applyBorder="1"/>
    <xf numFmtId="164" fontId="5" fillId="0" borderId="2" xfId="0" applyNumberFormat="1" applyFont="1" applyBorder="1" applyAlignment="1">
      <alignment horizontal="right" vertical="center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165" fontId="4" fillId="3" borderId="1" xfId="0" applyNumberFormat="1" applyFont="1" applyFill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opLeftCell="B1" workbookViewId="0">
      <pane ySplit="4" topLeftCell="A14" activePane="bottomLeft" state="frozen"/>
      <selection pane="bottomLeft" activeCell="B26" sqref="B26"/>
    </sheetView>
  </sheetViews>
  <sheetFormatPr defaultRowHeight="14.25"/>
  <cols>
    <col min="1" max="1" width="19" customWidth="1"/>
    <col min="2" max="2" width="41" customWidth="1"/>
    <col min="3" max="3" width="32" customWidth="1"/>
    <col min="4" max="5" width="30" customWidth="1"/>
    <col min="6" max="6" width="38" customWidth="1"/>
    <col min="7" max="7" width="39" customWidth="1"/>
    <col min="8" max="8" width="29" customWidth="1"/>
    <col min="9" max="9" width="32" customWidth="1"/>
    <col min="10" max="10" width="64" customWidth="1"/>
    <col min="11" max="11" width="22" customWidth="1"/>
    <col min="12" max="12" width="15" customWidth="1"/>
    <col min="13" max="13" width="27" customWidth="1"/>
    <col min="14" max="14" width="17" customWidth="1"/>
    <col min="15" max="15" width="21" customWidth="1"/>
    <col min="16" max="16" width="16" customWidth="1"/>
    <col min="17" max="17" width="20" customWidth="1"/>
  </cols>
  <sheetData>
    <row r="1" spans="1:17" ht="24">
      <c r="A1" s="1" t="s">
        <v>0</v>
      </c>
    </row>
    <row r="2" spans="1:17" ht="15.4">
      <c r="A2" s="2" t="s">
        <v>1</v>
      </c>
    </row>
    <row r="4" spans="1:17" ht="28.0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20" customHeight="1">
      <c r="A5" s="4" t="s">
        <v>19</v>
      </c>
      <c r="B5" s="5" t="s">
        <v>20</v>
      </c>
      <c r="C5" s="4" t="s">
        <v>21</v>
      </c>
      <c r="D5" s="4" t="s">
        <v>22</v>
      </c>
      <c r="E5" s="4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4" t="s">
        <v>29</v>
      </c>
      <c r="L5" s="4" t="s">
        <v>30</v>
      </c>
      <c r="M5" s="4" t="s">
        <v>31</v>
      </c>
      <c r="N5" s="6">
        <v>14500</v>
      </c>
      <c r="O5" s="4" t="s">
        <v>32</v>
      </c>
      <c r="P5" s="4" t="s">
        <v>33</v>
      </c>
      <c r="Q5" s="4" t="s">
        <v>34</v>
      </c>
    </row>
    <row r="6" spans="1:17" ht="20" customHeight="1">
      <c r="A6" s="7" t="s">
        <v>35</v>
      </c>
      <c r="B6" s="8" t="s">
        <v>20</v>
      </c>
      <c r="C6" s="7" t="s">
        <v>36</v>
      </c>
      <c r="D6" s="7" t="s">
        <v>37</v>
      </c>
      <c r="E6" s="7" t="s">
        <v>38</v>
      </c>
      <c r="F6" s="8" t="s">
        <v>24</v>
      </c>
      <c r="G6" s="8" t="s">
        <v>25</v>
      </c>
      <c r="H6" s="8" t="s">
        <v>26</v>
      </c>
      <c r="I6" s="8" t="s">
        <v>39</v>
      </c>
      <c r="J6" s="8" t="s">
        <v>40</v>
      </c>
      <c r="K6" s="7" t="s">
        <v>29</v>
      </c>
      <c r="L6" s="7" t="s">
        <v>30</v>
      </c>
      <c r="M6" s="7" t="s">
        <v>41</v>
      </c>
      <c r="N6" s="9">
        <v>16200</v>
      </c>
      <c r="O6" s="7" t="s">
        <v>32</v>
      </c>
      <c r="P6" s="7" t="s">
        <v>33</v>
      </c>
      <c r="Q6" s="7" t="s">
        <v>34</v>
      </c>
    </row>
    <row r="7" spans="1:17" ht="20" customHeight="1">
      <c r="A7" s="4" t="s">
        <v>42</v>
      </c>
      <c r="B7" s="5" t="s">
        <v>20</v>
      </c>
      <c r="C7" s="4" t="s">
        <v>43</v>
      </c>
      <c r="D7" s="4" t="s">
        <v>44</v>
      </c>
      <c r="E7" s="4" t="s">
        <v>45</v>
      </c>
      <c r="F7" s="5" t="s">
        <v>24</v>
      </c>
      <c r="G7" s="5" t="s">
        <v>25</v>
      </c>
      <c r="H7" s="5" t="s">
        <v>46</v>
      </c>
      <c r="I7" s="5" t="s">
        <v>47</v>
      </c>
      <c r="J7" s="5" t="s">
        <v>48</v>
      </c>
      <c r="K7" s="4" t="s">
        <v>29</v>
      </c>
      <c r="L7" s="4" t="s">
        <v>49</v>
      </c>
      <c r="M7" s="4" t="s">
        <v>50</v>
      </c>
      <c r="N7" s="6">
        <v>13800</v>
      </c>
      <c r="O7" s="4" t="s">
        <v>32</v>
      </c>
      <c r="P7" s="4" t="s">
        <v>33</v>
      </c>
      <c r="Q7" s="4" t="s">
        <v>34</v>
      </c>
    </row>
    <row r="8" spans="1:17" ht="20" customHeight="1">
      <c r="A8" s="7" t="s">
        <v>51</v>
      </c>
      <c r="B8" s="8" t="s">
        <v>52</v>
      </c>
      <c r="C8" s="7" t="s">
        <v>53</v>
      </c>
      <c r="D8" s="7" t="s">
        <v>54</v>
      </c>
      <c r="E8" s="7" t="s">
        <v>55</v>
      </c>
      <c r="F8" s="8" t="s">
        <v>24</v>
      </c>
      <c r="G8" s="8" t="s">
        <v>25</v>
      </c>
      <c r="H8" s="8" t="s">
        <v>26</v>
      </c>
      <c r="I8" s="8" t="s">
        <v>56</v>
      </c>
      <c r="J8" s="8" t="s">
        <v>57</v>
      </c>
      <c r="K8" s="7" t="s">
        <v>29</v>
      </c>
      <c r="L8" s="7" t="s">
        <v>30</v>
      </c>
      <c r="M8" s="7" t="s">
        <v>58</v>
      </c>
      <c r="N8" s="9">
        <v>21500</v>
      </c>
      <c r="O8" s="7" t="s">
        <v>32</v>
      </c>
      <c r="P8" s="7" t="s">
        <v>33</v>
      </c>
      <c r="Q8" s="7" t="s">
        <v>34</v>
      </c>
    </row>
    <row r="9" spans="1:17" ht="20" customHeight="1">
      <c r="A9" s="4" t="s">
        <v>59</v>
      </c>
      <c r="B9" s="5" t="s">
        <v>20</v>
      </c>
      <c r="C9" s="4" t="s">
        <v>60</v>
      </c>
      <c r="D9" s="4" t="s">
        <v>61</v>
      </c>
      <c r="E9" s="4"/>
      <c r="F9" s="5" t="s">
        <v>24</v>
      </c>
      <c r="G9" s="5" t="s">
        <v>25</v>
      </c>
      <c r="H9" s="5" t="s">
        <v>26</v>
      </c>
      <c r="I9" s="5" t="s">
        <v>39</v>
      </c>
      <c r="J9" s="5" t="s">
        <v>62</v>
      </c>
      <c r="K9" s="4" t="s">
        <v>29</v>
      </c>
      <c r="L9" s="4" t="s">
        <v>30</v>
      </c>
      <c r="M9" s="4" t="s">
        <v>63</v>
      </c>
      <c r="N9" s="6">
        <v>15800</v>
      </c>
      <c r="O9" s="4" t="s">
        <v>32</v>
      </c>
      <c r="P9" s="4" t="s">
        <v>33</v>
      </c>
      <c r="Q9" s="4" t="s">
        <v>34</v>
      </c>
    </row>
    <row r="10" spans="1:17" ht="20" customHeight="1">
      <c r="A10" s="7" t="s">
        <v>64</v>
      </c>
      <c r="B10" s="8" t="s">
        <v>65</v>
      </c>
      <c r="C10" s="7" t="s">
        <v>66</v>
      </c>
      <c r="D10" s="7" t="s">
        <v>67</v>
      </c>
      <c r="E10" s="7" t="s">
        <v>68</v>
      </c>
      <c r="F10" s="8" t="s">
        <v>69</v>
      </c>
      <c r="G10" s="8" t="s">
        <v>25</v>
      </c>
      <c r="H10" s="8" t="s">
        <v>70</v>
      </c>
      <c r="I10" s="8" t="s">
        <v>71</v>
      </c>
      <c r="J10" s="8" t="s">
        <v>72</v>
      </c>
      <c r="K10" s="7" t="s">
        <v>29</v>
      </c>
      <c r="L10" s="7" t="s">
        <v>30</v>
      </c>
      <c r="M10" s="7" t="s">
        <v>73</v>
      </c>
      <c r="N10" s="9">
        <v>24000</v>
      </c>
      <c r="O10" s="7" t="s">
        <v>32</v>
      </c>
      <c r="P10" s="7" t="s">
        <v>33</v>
      </c>
      <c r="Q10" s="7" t="s">
        <v>34</v>
      </c>
    </row>
    <row r="11" spans="1:17" ht="20" customHeight="1">
      <c r="A11" s="4" t="s">
        <v>74</v>
      </c>
      <c r="B11" s="5" t="s">
        <v>75</v>
      </c>
      <c r="C11" s="4" t="s">
        <v>76</v>
      </c>
      <c r="D11" s="4" t="s">
        <v>77</v>
      </c>
      <c r="E11" s="4"/>
      <c r="F11" s="5" t="s">
        <v>24</v>
      </c>
      <c r="G11" s="5" t="s">
        <v>25</v>
      </c>
      <c r="H11" s="5" t="s">
        <v>26</v>
      </c>
      <c r="I11" s="5" t="s">
        <v>78</v>
      </c>
      <c r="J11" s="5" t="s">
        <v>79</v>
      </c>
      <c r="K11" s="4" t="s">
        <v>29</v>
      </c>
      <c r="L11" s="4" t="s">
        <v>30</v>
      </c>
      <c r="M11" s="4" t="s">
        <v>80</v>
      </c>
      <c r="N11" s="6">
        <v>28500</v>
      </c>
      <c r="O11" s="4" t="s">
        <v>32</v>
      </c>
      <c r="P11" s="4" t="s">
        <v>33</v>
      </c>
      <c r="Q11" s="4" t="s">
        <v>34</v>
      </c>
    </row>
    <row r="12" spans="1:17" ht="20" customHeight="1">
      <c r="A12" s="7" t="s">
        <v>81</v>
      </c>
      <c r="B12" s="8" t="s">
        <v>82</v>
      </c>
      <c r="C12" s="7" t="s">
        <v>83</v>
      </c>
      <c r="D12" s="7"/>
      <c r="E12" s="7"/>
      <c r="F12" s="8" t="s">
        <v>84</v>
      </c>
      <c r="G12" s="8" t="s">
        <v>85</v>
      </c>
      <c r="H12" s="8" t="s">
        <v>86</v>
      </c>
      <c r="I12" s="8" t="s">
        <v>87</v>
      </c>
      <c r="J12" s="8" t="s">
        <v>88</v>
      </c>
      <c r="K12" s="7" t="s">
        <v>29</v>
      </c>
      <c r="L12" s="7" t="s">
        <v>30</v>
      </c>
      <c r="M12" s="7" t="s">
        <v>89</v>
      </c>
      <c r="N12" s="9">
        <v>1850</v>
      </c>
      <c r="O12" s="7" t="s">
        <v>90</v>
      </c>
      <c r="P12" s="7" t="s">
        <v>33</v>
      </c>
      <c r="Q12" s="7" t="s">
        <v>91</v>
      </c>
    </row>
    <row r="13" spans="1:17" ht="20" customHeight="1">
      <c r="A13" s="4" t="s">
        <v>92</v>
      </c>
      <c r="B13" s="5" t="s">
        <v>93</v>
      </c>
      <c r="C13" s="4" t="s">
        <v>94</v>
      </c>
      <c r="D13" s="4" t="s">
        <v>95</v>
      </c>
      <c r="E13" s="4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4" t="s">
        <v>29</v>
      </c>
      <c r="L13" s="4" t="s">
        <v>30</v>
      </c>
      <c r="M13" s="4" t="s">
        <v>102</v>
      </c>
      <c r="N13" s="6">
        <v>3200</v>
      </c>
      <c r="O13" s="4" t="s">
        <v>103</v>
      </c>
      <c r="P13" s="4" t="s">
        <v>104</v>
      </c>
      <c r="Q13" s="4" t="s">
        <v>105</v>
      </c>
    </row>
    <row r="14" spans="1:17" ht="20" customHeight="1">
      <c r="A14" s="7" t="s">
        <v>106</v>
      </c>
      <c r="B14" s="8" t="s">
        <v>107</v>
      </c>
      <c r="C14" s="7" t="s">
        <v>108</v>
      </c>
      <c r="D14" s="7"/>
      <c r="E14" s="7"/>
      <c r="F14" s="8" t="s">
        <v>109</v>
      </c>
      <c r="G14" s="8" t="s">
        <v>110</v>
      </c>
      <c r="H14" s="8" t="s">
        <v>111</v>
      </c>
      <c r="I14" s="8" t="s">
        <v>112</v>
      </c>
      <c r="J14" s="8" t="s">
        <v>113</v>
      </c>
      <c r="K14" s="7" t="s">
        <v>29</v>
      </c>
      <c r="L14" s="7" t="s">
        <v>49</v>
      </c>
      <c r="M14" s="7" t="s">
        <v>114</v>
      </c>
      <c r="N14" s="9">
        <v>450</v>
      </c>
      <c r="O14" s="7" t="s">
        <v>115</v>
      </c>
      <c r="P14" s="7" t="s">
        <v>116</v>
      </c>
      <c r="Q14" s="7" t="s">
        <v>117</v>
      </c>
    </row>
    <row r="15" spans="1:17" ht="20" customHeight="1">
      <c r="A15" s="4" t="s">
        <v>118</v>
      </c>
      <c r="B15" s="5" t="s">
        <v>119</v>
      </c>
      <c r="C15" s="4" t="s">
        <v>120</v>
      </c>
      <c r="D15" s="4"/>
      <c r="E15" s="4"/>
      <c r="F15" s="5" t="s">
        <v>121</v>
      </c>
      <c r="G15" s="5" t="s">
        <v>122</v>
      </c>
      <c r="H15" s="5" t="s">
        <v>123</v>
      </c>
      <c r="I15" s="5"/>
      <c r="J15" s="5" t="s">
        <v>124</v>
      </c>
      <c r="K15" s="4" t="s">
        <v>29</v>
      </c>
      <c r="L15" s="4" t="s">
        <v>49</v>
      </c>
      <c r="M15" s="4" t="s">
        <v>125</v>
      </c>
      <c r="N15" s="6">
        <v>4500</v>
      </c>
      <c r="O15" s="4" t="s">
        <v>126</v>
      </c>
      <c r="P15" s="4" t="s">
        <v>104</v>
      </c>
      <c r="Q15" s="4" t="s">
        <v>127</v>
      </c>
    </row>
    <row r="16" spans="1:17" ht="20" customHeight="1">
      <c r="A16" s="7" t="s">
        <v>128</v>
      </c>
      <c r="B16" s="8" t="s">
        <v>129</v>
      </c>
      <c r="C16" s="7" t="s">
        <v>130</v>
      </c>
      <c r="D16" s="7" t="s">
        <v>131</v>
      </c>
      <c r="E16" s="7" t="s">
        <v>132</v>
      </c>
      <c r="F16" s="8" t="s">
        <v>133</v>
      </c>
      <c r="G16" s="8" t="s">
        <v>134</v>
      </c>
      <c r="H16" s="8"/>
      <c r="I16" s="8"/>
      <c r="J16" s="8" t="s">
        <v>135</v>
      </c>
      <c r="K16" s="7" t="s">
        <v>29</v>
      </c>
      <c r="L16" s="7" t="s">
        <v>30</v>
      </c>
      <c r="M16" s="7" t="s">
        <v>136</v>
      </c>
      <c r="N16" s="9">
        <v>45000</v>
      </c>
      <c r="O16" s="7" t="s">
        <v>32</v>
      </c>
      <c r="P16" s="7" t="s">
        <v>33</v>
      </c>
      <c r="Q16" s="7" t="s">
        <v>34</v>
      </c>
    </row>
    <row r="17" spans="1:17" ht="20" customHeight="1">
      <c r="A17" s="4" t="s">
        <v>137</v>
      </c>
      <c r="B17" s="5" t="s">
        <v>138</v>
      </c>
      <c r="C17" s="4" t="s">
        <v>139</v>
      </c>
      <c r="D17" s="4" t="s">
        <v>140</v>
      </c>
      <c r="E17" s="4" t="s">
        <v>141</v>
      </c>
      <c r="F17" s="5" t="s">
        <v>142</v>
      </c>
      <c r="G17" s="5" t="s">
        <v>143</v>
      </c>
      <c r="H17" s="5"/>
      <c r="I17" s="5"/>
      <c r="J17" s="5" t="s">
        <v>144</v>
      </c>
      <c r="K17" s="4" t="s">
        <v>29</v>
      </c>
      <c r="L17" s="4" t="s">
        <v>30</v>
      </c>
      <c r="M17" s="4" t="s">
        <v>145</v>
      </c>
      <c r="N17" s="6">
        <v>6200</v>
      </c>
      <c r="O17" s="4" t="s">
        <v>146</v>
      </c>
      <c r="P17" s="4" t="s">
        <v>104</v>
      </c>
      <c r="Q17" s="4" t="s">
        <v>147</v>
      </c>
    </row>
    <row r="18" spans="1:17" ht="20" customHeight="1">
      <c r="A18" s="7" t="s">
        <v>148</v>
      </c>
      <c r="B18" s="8" t="s">
        <v>82</v>
      </c>
      <c r="C18" s="7" t="s">
        <v>149</v>
      </c>
      <c r="D18" s="7" t="s">
        <v>150</v>
      </c>
      <c r="E18" s="7" t="s">
        <v>151</v>
      </c>
      <c r="F18" s="8" t="s">
        <v>152</v>
      </c>
      <c r="G18" s="8" t="s">
        <v>153</v>
      </c>
      <c r="H18" s="8" t="s">
        <v>86</v>
      </c>
      <c r="I18" s="8" t="s">
        <v>154</v>
      </c>
      <c r="J18" s="8" t="s">
        <v>155</v>
      </c>
      <c r="K18" s="7" t="s">
        <v>29</v>
      </c>
      <c r="L18" s="7" t="s">
        <v>30</v>
      </c>
      <c r="M18" s="7" t="s">
        <v>156</v>
      </c>
      <c r="N18" s="9">
        <v>850</v>
      </c>
      <c r="O18" s="7" t="s">
        <v>32</v>
      </c>
      <c r="P18" s="7" t="s">
        <v>116</v>
      </c>
      <c r="Q18" s="7" t="s">
        <v>157</v>
      </c>
    </row>
    <row r="19" spans="1:17" ht="20" customHeight="1">
      <c r="A19" s="4" t="s">
        <v>158</v>
      </c>
      <c r="B19" s="5" t="s">
        <v>159</v>
      </c>
      <c r="C19" s="4" t="s">
        <v>160</v>
      </c>
      <c r="D19" s="4"/>
      <c r="E19" s="4"/>
      <c r="F19" s="5" t="s">
        <v>161</v>
      </c>
      <c r="G19" s="5" t="s">
        <v>162</v>
      </c>
      <c r="H19" s="5" t="s">
        <v>163</v>
      </c>
      <c r="I19" s="5" t="s">
        <v>164</v>
      </c>
      <c r="J19" s="5" t="s">
        <v>165</v>
      </c>
      <c r="K19" s="4" t="s">
        <v>29</v>
      </c>
      <c r="L19" s="4" t="s">
        <v>30</v>
      </c>
      <c r="M19" s="4" t="s">
        <v>166</v>
      </c>
      <c r="N19" s="6">
        <v>12500</v>
      </c>
      <c r="O19" s="4" t="s">
        <v>167</v>
      </c>
      <c r="P19" s="4" t="s">
        <v>33</v>
      </c>
      <c r="Q19" s="4" t="s">
        <v>90</v>
      </c>
    </row>
    <row r="20" spans="1:17" ht="20" customHeight="1">
      <c r="A20" s="7" t="s">
        <v>168</v>
      </c>
      <c r="B20" s="8" t="s">
        <v>169</v>
      </c>
      <c r="C20" s="7" t="s">
        <v>170</v>
      </c>
      <c r="D20" s="7"/>
      <c r="E20" s="7" t="s">
        <v>171</v>
      </c>
      <c r="F20" s="8" t="s">
        <v>172</v>
      </c>
      <c r="G20" s="8" t="s">
        <v>173</v>
      </c>
      <c r="H20" s="8"/>
      <c r="I20" s="8"/>
      <c r="J20" s="8" t="s">
        <v>174</v>
      </c>
      <c r="K20" s="7" t="s">
        <v>29</v>
      </c>
      <c r="L20" s="7" t="s">
        <v>175</v>
      </c>
      <c r="M20" s="7" t="s">
        <v>176</v>
      </c>
      <c r="N20" s="9">
        <v>350</v>
      </c>
      <c r="O20" s="7" t="s">
        <v>177</v>
      </c>
      <c r="P20" s="7" t="s">
        <v>116</v>
      </c>
      <c r="Q20" s="7" t="s">
        <v>127</v>
      </c>
    </row>
    <row r="21" spans="1:17" ht="20" customHeight="1">
      <c r="A21" s="4" t="s">
        <v>178</v>
      </c>
      <c r="B21" s="5" t="s">
        <v>82</v>
      </c>
      <c r="C21" s="4" t="s">
        <v>179</v>
      </c>
      <c r="D21" s="4"/>
      <c r="E21" s="4" t="s">
        <v>180</v>
      </c>
      <c r="F21" s="5" t="s">
        <v>181</v>
      </c>
      <c r="G21" s="5" t="s">
        <v>85</v>
      </c>
      <c r="H21" s="5" t="s">
        <v>86</v>
      </c>
      <c r="I21" s="5" t="s">
        <v>182</v>
      </c>
      <c r="J21" s="5" t="s">
        <v>183</v>
      </c>
      <c r="K21" s="4" t="s">
        <v>29</v>
      </c>
      <c r="L21" s="4" t="s">
        <v>30</v>
      </c>
      <c r="M21" s="4" t="s">
        <v>184</v>
      </c>
      <c r="N21" s="6">
        <v>2200</v>
      </c>
      <c r="O21" s="4" t="s">
        <v>90</v>
      </c>
      <c r="P21" s="4" t="s">
        <v>33</v>
      </c>
      <c r="Q21" s="4" t="s">
        <v>91</v>
      </c>
    </row>
    <row r="22" spans="1:17" ht="20" customHeight="1">
      <c r="A22" s="7" t="s">
        <v>185</v>
      </c>
      <c r="B22" s="8" t="s">
        <v>186</v>
      </c>
      <c r="C22" s="7" t="s">
        <v>187</v>
      </c>
      <c r="D22" s="7" t="s">
        <v>188</v>
      </c>
      <c r="E22" s="7" t="s">
        <v>189</v>
      </c>
      <c r="F22" s="8" t="s">
        <v>190</v>
      </c>
      <c r="G22" s="8" t="s">
        <v>191</v>
      </c>
      <c r="H22" s="8" t="s">
        <v>192</v>
      </c>
      <c r="I22" s="8"/>
      <c r="J22" s="8" t="s">
        <v>193</v>
      </c>
      <c r="K22" s="7" t="s">
        <v>29</v>
      </c>
      <c r="L22" s="7" t="s">
        <v>49</v>
      </c>
      <c r="M22" s="7" t="s">
        <v>194</v>
      </c>
      <c r="N22" s="9">
        <v>650</v>
      </c>
      <c r="O22" s="7" t="s">
        <v>195</v>
      </c>
      <c r="P22" s="7" t="s">
        <v>104</v>
      </c>
      <c r="Q22" s="7" t="s">
        <v>196</v>
      </c>
    </row>
    <row r="23" spans="1:17" ht="20" customHeight="1">
      <c r="A23" s="4" t="s">
        <v>197</v>
      </c>
      <c r="B23" s="5" t="s">
        <v>198</v>
      </c>
      <c r="C23" s="4" t="s">
        <v>199</v>
      </c>
      <c r="D23" s="4" t="s">
        <v>200</v>
      </c>
      <c r="E23" s="4" t="s">
        <v>201</v>
      </c>
      <c r="F23" s="5" t="s">
        <v>202</v>
      </c>
      <c r="G23" s="5" t="s">
        <v>122</v>
      </c>
      <c r="H23" s="5" t="s">
        <v>203</v>
      </c>
      <c r="I23" s="5" t="s">
        <v>204</v>
      </c>
      <c r="J23" s="5" t="s">
        <v>205</v>
      </c>
      <c r="K23" s="4" t="s">
        <v>29</v>
      </c>
      <c r="L23" s="4" t="s">
        <v>30</v>
      </c>
      <c r="M23" s="4" t="s">
        <v>206</v>
      </c>
      <c r="N23" s="6">
        <v>5800</v>
      </c>
      <c r="O23" s="4" t="s">
        <v>195</v>
      </c>
      <c r="P23" s="4" t="s">
        <v>104</v>
      </c>
      <c r="Q23" s="4" t="s">
        <v>196</v>
      </c>
    </row>
    <row r="24" spans="1:17" ht="20" customHeight="1">
      <c r="A24" s="7" t="s">
        <v>207</v>
      </c>
      <c r="B24" s="8" t="s">
        <v>208</v>
      </c>
      <c r="C24" s="7" t="s">
        <v>209</v>
      </c>
      <c r="D24" s="7" t="s">
        <v>210</v>
      </c>
      <c r="E24" s="7" t="s">
        <v>211</v>
      </c>
      <c r="F24" s="8" t="s">
        <v>212</v>
      </c>
      <c r="G24" s="8" t="s">
        <v>213</v>
      </c>
      <c r="H24" s="8" t="s">
        <v>192</v>
      </c>
      <c r="I24" s="8"/>
      <c r="J24" s="8" t="s">
        <v>214</v>
      </c>
      <c r="K24" s="7" t="s">
        <v>29</v>
      </c>
      <c r="L24" s="7" t="s">
        <v>49</v>
      </c>
      <c r="M24" s="7" t="s">
        <v>215</v>
      </c>
      <c r="N24" s="9">
        <v>8900</v>
      </c>
      <c r="O24" s="7" t="s">
        <v>216</v>
      </c>
      <c r="P24" s="7" t="s">
        <v>33</v>
      </c>
      <c r="Q24" s="7" t="s">
        <v>217</v>
      </c>
    </row>
    <row r="25" spans="1:17" ht="20" customHeight="1">
      <c r="A25" s="4" t="s">
        <v>218</v>
      </c>
      <c r="B25" s="5" t="s">
        <v>219</v>
      </c>
      <c r="C25" s="4" t="s">
        <v>220</v>
      </c>
      <c r="D25" s="4" t="s">
        <v>221</v>
      </c>
      <c r="E25" s="4" t="s">
        <v>222</v>
      </c>
      <c r="F25" s="5" t="s">
        <v>223</v>
      </c>
      <c r="G25" s="5" t="s">
        <v>224</v>
      </c>
      <c r="H25" s="5" t="s">
        <v>225</v>
      </c>
      <c r="I25" s="5" t="s">
        <v>226</v>
      </c>
      <c r="J25" s="5" t="s">
        <v>227</v>
      </c>
      <c r="K25" s="4" t="s">
        <v>29</v>
      </c>
      <c r="L25" s="4" t="s">
        <v>175</v>
      </c>
      <c r="M25" s="4" t="s">
        <v>228</v>
      </c>
      <c r="N25" s="6">
        <v>850</v>
      </c>
      <c r="O25" s="4" t="s">
        <v>229</v>
      </c>
      <c r="P25" s="4" t="s">
        <v>116</v>
      </c>
      <c r="Q25" s="4" t="s">
        <v>230</v>
      </c>
    </row>
    <row r="26" spans="1:17" ht="20" customHeight="1">
      <c r="A26" s="7" t="s">
        <v>231</v>
      </c>
      <c r="B26" s="8" t="s">
        <v>232</v>
      </c>
      <c r="C26" s="7" t="s">
        <v>233</v>
      </c>
      <c r="D26" s="7" t="s">
        <v>234</v>
      </c>
      <c r="E26" s="7" t="s">
        <v>235</v>
      </c>
      <c r="F26" s="8" t="s">
        <v>236</v>
      </c>
      <c r="G26" s="8" t="s">
        <v>237</v>
      </c>
      <c r="H26" s="8" t="s">
        <v>238</v>
      </c>
      <c r="I26" s="8" t="s">
        <v>239</v>
      </c>
      <c r="J26" s="8" t="s">
        <v>240</v>
      </c>
      <c r="K26" s="7" t="s">
        <v>29</v>
      </c>
      <c r="L26" s="7" t="s">
        <v>30</v>
      </c>
      <c r="M26" s="7" t="s">
        <v>241</v>
      </c>
      <c r="N26" s="9">
        <v>38500</v>
      </c>
      <c r="O26" s="7" t="s">
        <v>90</v>
      </c>
      <c r="P26" s="7" t="s">
        <v>242</v>
      </c>
      <c r="Q26" s="7" t="s">
        <v>243</v>
      </c>
    </row>
    <row r="27" spans="1:17" ht="20" customHeight="1">
      <c r="A27" s="4" t="s">
        <v>244</v>
      </c>
      <c r="B27" s="5" t="s">
        <v>245</v>
      </c>
      <c r="C27" s="4" t="s">
        <v>246</v>
      </c>
      <c r="D27" s="4" t="s">
        <v>247</v>
      </c>
      <c r="E27" s="4" t="s">
        <v>248</v>
      </c>
      <c r="F27" s="5" t="s">
        <v>249</v>
      </c>
      <c r="G27" s="5" t="s">
        <v>250</v>
      </c>
      <c r="H27" s="5" t="s">
        <v>251</v>
      </c>
      <c r="I27" s="5" t="s">
        <v>252</v>
      </c>
      <c r="J27" s="5" t="s">
        <v>253</v>
      </c>
      <c r="K27" s="4" t="s">
        <v>29</v>
      </c>
      <c r="L27" s="4" t="s">
        <v>49</v>
      </c>
      <c r="M27" s="4" t="s">
        <v>254</v>
      </c>
      <c r="N27" s="6">
        <v>1250</v>
      </c>
      <c r="O27" s="4" t="s">
        <v>126</v>
      </c>
      <c r="P27" s="4" t="s">
        <v>104</v>
      </c>
      <c r="Q27" s="4" t="s">
        <v>127</v>
      </c>
    </row>
    <row r="28" spans="1:17" ht="22.05" customHeight="1">
      <c r="A28" s="10" t="s">
        <v>255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>
        <f>SUM(N5:N27)</f>
        <v>267350</v>
      </c>
      <c r="O28" s="11"/>
      <c r="P28" s="11"/>
      <c r="Q28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opLeftCell="A69" workbookViewId="0">
      <selection activeCell="A17" sqref="A17"/>
    </sheetView>
  </sheetViews>
  <sheetFormatPr defaultRowHeight="14.25"/>
  <cols>
    <col min="1" max="1" width="39" customWidth="1"/>
    <col min="2" max="2" width="52" customWidth="1"/>
    <col min="3" max="3" width="50" customWidth="1"/>
    <col min="4" max="4" width="55" customWidth="1"/>
  </cols>
  <sheetData>
    <row r="1" spans="1:4" ht="24">
      <c r="A1" s="1" t="s">
        <v>256</v>
      </c>
    </row>
    <row r="2" spans="1:4" ht="15.4">
      <c r="A2" s="2" t="s">
        <v>257</v>
      </c>
    </row>
    <row r="4" spans="1:4" ht="18.75">
      <c r="A4" s="13" t="s">
        <v>258</v>
      </c>
    </row>
    <row r="5" spans="1:4" ht="16.5">
      <c r="A5" s="14" t="s">
        <v>259</v>
      </c>
      <c r="B5" s="14" t="s">
        <v>260</v>
      </c>
    </row>
    <row r="6" spans="1:4" ht="15.4">
      <c r="A6" s="5" t="s">
        <v>261</v>
      </c>
      <c r="B6" s="15">
        <f>COUNTA('Asset Registry'!A5:A27)</f>
        <v>23</v>
      </c>
    </row>
    <row r="7" spans="1:4" ht="15.4">
      <c r="A7" s="5" t="s">
        <v>262</v>
      </c>
      <c r="B7" s="16">
        <f>SUM('Asset Registry'!N5:N27)</f>
        <v>267350</v>
      </c>
    </row>
    <row r="8" spans="1:4" ht="15.4">
      <c r="A8" s="5" t="s">
        <v>263</v>
      </c>
      <c r="B8" s="15">
        <f>COUNTIF('Asset Registry'!L5:L27, "High")</f>
        <v>15</v>
      </c>
    </row>
    <row r="9" spans="1:4" ht="15.4">
      <c r="A9" s="5" t="s">
        <v>264</v>
      </c>
      <c r="B9" s="15">
        <f>COUNTIF('Asset Registry'!L5:L27, "Medium")</f>
        <v>6</v>
      </c>
    </row>
    <row r="10" spans="1:4" ht="15.4">
      <c r="A10" s="5" t="s">
        <v>265</v>
      </c>
      <c r="B10" s="15">
        <f>COUNTIF('Asset Registry'!L5:L27, "Low")</f>
        <v>2</v>
      </c>
    </row>
    <row r="12" spans="1:4" ht="18.75">
      <c r="A12" s="13" t="s">
        <v>266</v>
      </c>
    </row>
    <row r="13" spans="1:4" ht="16.5">
      <c r="A13" s="14" t="s">
        <v>17</v>
      </c>
      <c r="B13" s="14" t="s">
        <v>267</v>
      </c>
      <c r="C13" s="14" t="s">
        <v>268</v>
      </c>
      <c r="D13" s="14" t="s">
        <v>269</v>
      </c>
    </row>
    <row r="14" spans="1:4" ht="46.15">
      <c r="A14" s="4" t="s">
        <v>242</v>
      </c>
      <c r="B14" s="4">
        <f>COUNTIF('Asset Registry'!P5:P27, "Monthly")</f>
        <v>1</v>
      </c>
      <c r="C14" s="5" t="s">
        <v>231</v>
      </c>
      <c r="D14" s="17" t="s">
        <v>270</v>
      </c>
    </row>
    <row r="15" spans="1:4" ht="46.15">
      <c r="A15" s="4" t="s">
        <v>33</v>
      </c>
      <c r="B15" s="4">
        <f>COUNTIF('Asset Registry'!P5:P27, "Quarterly")</f>
        <v>12</v>
      </c>
      <c r="C15" s="5" t="s">
        <v>271</v>
      </c>
      <c r="D15" s="17" t="s">
        <v>272</v>
      </c>
    </row>
    <row r="16" spans="1:4" ht="46.15">
      <c r="A16" s="4" t="s">
        <v>104</v>
      </c>
      <c r="B16" s="4">
        <f>COUNTIF('Asset Registry'!P5:P27, "Semi-Annual")</f>
        <v>6</v>
      </c>
      <c r="C16" s="5" t="s">
        <v>273</v>
      </c>
      <c r="D16" s="17" t="s">
        <v>274</v>
      </c>
    </row>
    <row r="17" spans="1:4" ht="46.15">
      <c r="A17" s="4" t="s">
        <v>116</v>
      </c>
      <c r="B17" s="4">
        <f>COUNTIF('Asset Registry'!P5:P27, "Annual")</f>
        <v>4</v>
      </c>
      <c r="C17" s="5" t="s">
        <v>275</v>
      </c>
      <c r="D17" s="17" t="s">
        <v>276</v>
      </c>
    </row>
    <row r="20" spans="1:4" ht="18.75">
      <c r="A20" s="13" t="s">
        <v>277</v>
      </c>
    </row>
    <row r="21" spans="1:4" ht="16.5">
      <c r="A21" s="14" t="s">
        <v>8</v>
      </c>
      <c r="B21" s="14" t="s">
        <v>278</v>
      </c>
      <c r="C21" s="14" t="s">
        <v>279</v>
      </c>
      <c r="D21" s="14" t="s">
        <v>280</v>
      </c>
    </row>
    <row r="22" spans="1:4" ht="15.4">
      <c r="A22" s="5" t="s">
        <v>25</v>
      </c>
      <c r="B22" s="4">
        <v>7</v>
      </c>
      <c r="C22" s="6">
        <v>134300</v>
      </c>
      <c r="D22" s="5" t="s">
        <v>281</v>
      </c>
    </row>
    <row r="23" spans="1:4" ht="15.4">
      <c r="A23" s="5" t="s">
        <v>134</v>
      </c>
      <c r="B23" s="4">
        <v>1</v>
      </c>
      <c r="C23" s="6">
        <v>45000</v>
      </c>
      <c r="D23" s="5" t="s">
        <v>282</v>
      </c>
    </row>
    <row r="24" spans="1:4" ht="15.4">
      <c r="A24" s="5" t="s">
        <v>237</v>
      </c>
      <c r="B24" s="4">
        <v>1</v>
      </c>
      <c r="C24" s="6">
        <v>38500</v>
      </c>
      <c r="D24" s="5" t="s">
        <v>283</v>
      </c>
    </row>
    <row r="25" spans="1:4" ht="15.4">
      <c r="A25" s="5" t="s">
        <v>162</v>
      </c>
      <c r="B25" s="4">
        <v>1</v>
      </c>
      <c r="C25" s="6">
        <v>12500</v>
      </c>
      <c r="D25" s="5" t="s">
        <v>284</v>
      </c>
    </row>
    <row r="26" spans="1:4" ht="15.4">
      <c r="A26" s="5" t="s">
        <v>285</v>
      </c>
      <c r="B26" s="4">
        <v>3</v>
      </c>
      <c r="C26" s="6">
        <v>16500</v>
      </c>
      <c r="D26" s="5" t="s">
        <v>286</v>
      </c>
    </row>
    <row r="27" spans="1:4" ht="15.4">
      <c r="A27" s="5" t="s">
        <v>213</v>
      </c>
      <c r="B27" s="4">
        <v>1</v>
      </c>
      <c r="C27" s="6">
        <v>8900</v>
      </c>
      <c r="D27" s="5" t="s">
        <v>287</v>
      </c>
    </row>
    <row r="28" spans="1:4" ht="15.4">
      <c r="A28" s="5" t="s">
        <v>85</v>
      </c>
      <c r="B28" s="4">
        <v>2</v>
      </c>
      <c r="C28" s="6">
        <v>4050</v>
      </c>
      <c r="D28" s="5" t="s">
        <v>288</v>
      </c>
    </row>
    <row r="29" spans="1:4" ht="15.4">
      <c r="A29" s="5" t="s">
        <v>289</v>
      </c>
      <c r="B29" s="4">
        <v>3</v>
      </c>
      <c r="C29" s="6">
        <v>4500</v>
      </c>
      <c r="D29" s="5" t="s">
        <v>290</v>
      </c>
    </row>
    <row r="30" spans="1:4" ht="15.4">
      <c r="A30" s="5" t="s">
        <v>291</v>
      </c>
      <c r="B30" s="4">
        <v>4</v>
      </c>
      <c r="C30" s="6">
        <v>3100</v>
      </c>
      <c r="D30" s="5" t="s">
        <v>292</v>
      </c>
    </row>
    <row r="31" spans="1:4" ht="15.4">
      <c r="A31" s="10" t="s">
        <v>293</v>
      </c>
      <c r="B31" s="18">
        <f>SUM(B22:B30)</f>
        <v>23</v>
      </c>
      <c r="C31" s="12">
        <f>SUM(C22:C30)</f>
        <v>267350</v>
      </c>
      <c r="D31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RowHeight="14.25"/>
  <cols>
    <col min="1" max="1" width="33" customWidth="1"/>
    <col min="2" max="3" width="38" customWidth="1"/>
    <col min="4" max="4" width="14" customWidth="1"/>
    <col min="5" max="5" width="15" customWidth="1"/>
    <col min="6" max="6" width="20" customWidth="1"/>
    <col min="7" max="7" width="19" customWidth="1"/>
    <col min="8" max="8" width="52" customWidth="1"/>
    <col min="9" max="9" width="19" customWidth="1"/>
    <col min="10" max="10" width="38" customWidth="1"/>
    <col min="11" max="11" width="20" customWidth="1"/>
  </cols>
  <sheetData>
    <row r="1" spans="1:11" ht="24">
      <c r="A1" s="1" t="s">
        <v>294</v>
      </c>
    </row>
    <row r="2" spans="1:11" ht="15.4">
      <c r="A2" s="2" t="s">
        <v>295</v>
      </c>
    </row>
    <row r="4" spans="1:11" ht="28.05" customHeight="1">
      <c r="A4" s="3" t="s">
        <v>2</v>
      </c>
      <c r="B4" s="3" t="s">
        <v>296</v>
      </c>
      <c r="C4" s="3" t="s">
        <v>8</v>
      </c>
      <c r="D4" s="3" t="s">
        <v>13</v>
      </c>
      <c r="E4" s="3" t="s">
        <v>17</v>
      </c>
      <c r="F4" s="3" t="s">
        <v>16</v>
      </c>
      <c r="G4" s="3" t="s">
        <v>18</v>
      </c>
      <c r="H4" s="3" t="s">
        <v>297</v>
      </c>
      <c r="I4" s="3" t="s">
        <v>298</v>
      </c>
      <c r="J4" s="3" t="s">
        <v>299</v>
      </c>
      <c r="K4" s="3" t="s">
        <v>300</v>
      </c>
    </row>
    <row r="5" spans="1:11" ht="24" customHeight="1">
      <c r="A5" s="4" t="s">
        <v>231</v>
      </c>
      <c r="B5" s="17" t="s">
        <v>301</v>
      </c>
      <c r="C5" s="17" t="s">
        <v>237</v>
      </c>
      <c r="D5" s="4" t="s">
        <v>30</v>
      </c>
      <c r="E5" s="4" t="s">
        <v>242</v>
      </c>
      <c r="F5" s="4" t="s">
        <v>90</v>
      </c>
      <c r="G5" s="4">
        <f>EDATE(F5, 1)</f>
        <v>46218</v>
      </c>
      <c r="H5" s="17" t="s">
        <v>302</v>
      </c>
      <c r="I5" s="19">
        <v>1.5</v>
      </c>
      <c r="J5" s="17" t="s">
        <v>303</v>
      </c>
      <c r="K5" s="4" t="s">
        <v>304</v>
      </c>
    </row>
    <row r="6" spans="1:11" ht="24" customHeight="1">
      <c r="A6" s="7" t="s">
        <v>19</v>
      </c>
      <c r="B6" s="20" t="s">
        <v>305</v>
      </c>
      <c r="C6" s="20" t="s">
        <v>25</v>
      </c>
      <c r="D6" s="7" t="s">
        <v>30</v>
      </c>
      <c r="E6" s="7" t="s">
        <v>33</v>
      </c>
      <c r="F6" s="7" t="s">
        <v>32</v>
      </c>
      <c r="G6" s="7">
        <f t="shared" ref="G6:G17" si="0">EDATE(F6, 3)</f>
        <v>46266</v>
      </c>
      <c r="H6" s="20" t="s">
        <v>306</v>
      </c>
      <c r="I6" s="21">
        <v>2</v>
      </c>
      <c r="J6" s="20" t="s">
        <v>307</v>
      </c>
      <c r="K6" s="7" t="s">
        <v>304</v>
      </c>
    </row>
    <row r="7" spans="1:11" ht="24" customHeight="1">
      <c r="A7" s="4" t="s">
        <v>35</v>
      </c>
      <c r="B7" s="17" t="s">
        <v>308</v>
      </c>
      <c r="C7" s="17" t="s">
        <v>25</v>
      </c>
      <c r="D7" s="4" t="s">
        <v>30</v>
      </c>
      <c r="E7" s="4" t="s">
        <v>33</v>
      </c>
      <c r="F7" s="4" t="s">
        <v>32</v>
      </c>
      <c r="G7" s="4">
        <f t="shared" si="0"/>
        <v>46266</v>
      </c>
      <c r="H7" s="17" t="s">
        <v>309</v>
      </c>
      <c r="I7" s="19">
        <v>2</v>
      </c>
      <c r="J7" s="17" t="s">
        <v>310</v>
      </c>
      <c r="K7" s="4" t="s">
        <v>304</v>
      </c>
    </row>
    <row r="8" spans="1:11" ht="24" customHeight="1">
      <c r="A8" s="7" t="s">
        <v>42</v>
      </c>
      <c r="B8" s="20" t="s">
        <v>311</v>
      </c>
      <c r="C8" s="20" t="s">
        <v>25</v>
      </c>
      <c r="D8" s="7" t="s">
        <v>49</v>
      </c>
      <c r="E8" s="7" t="s">
        <v>33</v>
      </c>
      <c r="F8" s="7" t="s">
        <v>32</v>
      </c>
      <c r="G8" s="7">
        <f t="shared" si="0"/>
        <v>46266</v>
      </c>
      <c r="H8" s="20" t="s">
        <v>312</v>
      </c>
      <c r="I8" s="21">
        <v>1.5</v>
      </c>
      <c r="J8" s="20" t="s">
        <v>313</v>
      </c>
      <c r="K8" s="7" t="s">
        <v>304</v>
      </c>
    </row>
    <row r="9" spans="1:11" ht="24" customHeight="1">
      <c r="A9" s="4" t="s">
        <v>51</v>
      </c>
      <c r="B9" s="17" t="s">
        <v>314</v>
      </c>
      <c r="C9" s="17" t="s">
        <v>25</v>
      </c>
      <c r="D9" s="4" t="s">
        <v>30</v>
      </c>
      <c r="E9" s="4" t="s">
        <v>33</v>
      </c>
      <c r="F9" s="4" t="s">
        <v>32</v>
      </c>
      <c r="G9" s="4">
        <f t="shared" si="0"/>
        <v>46266</v>
      </c>
      <c r="H9" s="17" t="s">
        <v>315</v>
      </c>
      <c r="I9" s="19">
        <v>2.5</v>
      </c>
      <c r="J9" s="17" t="s">
        <v>316</v>
      </c>
      <c r="K9" s="4" t="s">
        <v>304</v>
      </c>
    </row>
    <row r="10" spans="1:11" ht="24" customHeight="1">
      <c r="A10" s="7" t="s">
        <v>59</v>
      </c>
      <c r="B10" s="20" t="s">
        <v>317</v>
      </c>
      <c r="C10" s="20" t="s">
        <v>25</v>
      </c>
      <c r="D10" s="7" t="s">
        <v>30</v>
      </c>
      <c r="E10" s="7" t="s">
        <v>33</v>
      </c>
      <c r="F10" s="7" t="s">
        <v>32</v>
      </c>
      <c r="G10" s="7">
        <f t="shared" si="0"/>
        <v>46266</v>
      </c>
      <c r="H10" s="20" t="s">
        <v>318</v>
      </c>
      <c r="I10" s="21">
        <v>2</v>
      </c>
      <c r="J10" s="20" t="s">
        <v>319</v>
      </c>
      <c r="K10" s="7" t="s">
        <v>304</v>
      </c>
    </row>
    <row r="11" spans="1:11" ht="24" customHeight="1">
      <c r="A11" s="4" t="s">
        <v>64</v>
      </c>
      <c r="B11" s="17" t="s">
        <v>320</v>
      </c>
      <c r="C11" s="17" t="s">
        <v>25</v>
      </c>
      <c r="D11" s="4" t="s">
        <v>30</v>
      </c>
      <c r="E11" s="4" t="s">
        <v>33</v>
      </c>
      <c r="F11" s="4" t="s">
        <v>32</v>
      </c>
      <c r="G11" s="4">
        <f t="shared" si="0"/>
        <v>46266</v>
      </c>
      <c r="H11" s="17" t="s">
        <v>321</v>
      </c>
      <c r="I11" s="19">
        <v>2.5</v>
      </c>
      <c r="J11" s="17" t="s">
        <v>322</v>
      </c>
      <c r="K11" s="4" t="s">
        <v>304</v>
      </c>
    </row>
    <row r="12" spans="1:11" ht="24" customHeight="1">
      <c r="A12" s="7" t="s">
        <v>74</v>
      </c>
      <c r="B12" s="20" t="s">
        <v>323</v>
      </c>
      <c r="C12" s="20" t="s">
        <v>25</v>
      </c>
      <c r="D12" s="7" t="s">
        <v>30</v>
      </c>
      <c r="E12" s="7" t="s">
        <v>33</v>
      </c>
      <c r="F12" s="7" t="s">
        <v>32</v>
      </c>
      <c r="G12" s="7">
        <f t="shared" si="0"/>
        <v>46266</v>
      </c>
      <c r="H12" s="20" t="s">
        <v>324</v>
      </c>
      <c r="I12" s="21">
        <v>2</v>
      </c>
      <c r="J12" s="20" t="s">
        <v>325</v>
      </c>
      <c r="K12" s="7" t="s">
        <v>304</v>
      </c>
    </row>
    <row r="13" spans="1:11" ht="24" customHeight="1">
      <c r="A13" s="4" t="s">
        <v>81</v>
      </c>
      <c r="B13" s="17" t="s">
        <v>326</v>
      </c>
      <c r="C13" s="17" t="s">
        <v>85</v>
      </c>
      <c r="D13" s="4" t="s">
        <v>30</v>
      </c>
      <c r="E13" s="4" t="s">
        <v>33</v>
      </c>
      <c r="F13" s="4" t="s">
        <v>90</v>
      </c>
      <c r="G13" s="4">
        <f t="shared" si="0"/>
        <v>46280</v>
      </c>
      <c r="H13" s="17" t="s">
        <v>327</v>
      </c>
      <c r="I13" s="19">
        <v>1.5</v>
      </c>
      <c r="J13" s="17" t="s">
        <v>328</v>
      </c>
      <c r="K13" s="4" t="s">
        <v>304</v>
      </c>
    </row>
    <row r="14" spans="1:11" ht="24" customHeight="1">
      <c r="A14" s="7" t="s">
        <v>128</v>
      </c>
      <c r="B14" s="20" t="s">
        <v>329</v>
      </c>
      <c r="C14" s="20" t="s">
        <v>134</v>
      </c>
      <c r="D14" s="7" t="s">
        <v>30</v>
      </c>
      <c r="E14" s="7" t="s">
        <v>33</v>
      </c>
      <c r="F14" s="7" t="s">
        <v>32</v>
      </c>
      <c r="G14" s="7">
        <f t="shared" si="0"/>
        <v>46266</v>
      </c>
      <c r="H14" s="20" t="s">
        <v>330</v>
      </c>
      <c r="I14" s="21">
        <v>3</v>
      </c>
      <c r="J14" s="20" t="s">
        <v>331</v>
      </c>
      <c r="K14" s="7" t="s">
        <v>304</v>
      </c>
    </row>
    <row r="15" spans="1:11" ht="24" customHeight="1">
      <c r="A15" s="4" t="s">
        <v>158</v>
      </c>
      <c r="B15" s="17" t="s">
        <v>332</v>
      </c>
      <c r="C15" s="17" t="s">
        <v>162</v>
      </c>
      <c r="D15" s="4" t="s">
        <v>30</v>
      </c>
      <c r="E15" s="4" t="s">
        <v>33</v>
      </c>
      <c r="F15" s="4" t="s">
        <v>167</v>
      </c>
      <c r="G15" s="4">
        <f t="shared" si="0"/>
        <v>46188</v>
      </c>
      <c r="H15" s="17" t="s">
        <v>333</v>
      </c>
      <c r="I15" s="19">
        <v>1.5</v>
      </c>
      <c r="J15" s="17" t="s">
        <v>334</v>
      </c>
      <c r="K15" s="4" t="s">
        <v>304</v>
      </c>
    </row>
    <row r="16" spans="1:11" ht="24" customHeight="1">
      <c r="A16" s="7" t="s">
        <v>178</v>
      </c>
      <c r="B16" s="20" t="s">
        <v>335</v>
      </c>
      <c r="C16" s="20" t="s">
        <v>85</v>
      </c>
      <c r="D16" s="7" t="s">
        <v>30</v>
      </c>
      <c r="E16" s="7" t="s">
        <v>33</v>
      </c>
      <c r="F16" s="7" t="s">
        <v>90</v>
      </c>
      <c r="G16" s="7">
        <f t="shared" si="0"/>
        <v>46280</v>
      </c>
      <c r="H16" s="20" t="s">
        <v>336</v>
      </c>
      <c r="I16" s="21">
        <v>1.5</v>
      </c>
      <c r="J16" s="20" t="s">
        <v>337</v>
      </c>
      <c r="K16" s="7" t="s">
        <v>304</v>
      </c>
    </row>
    <row r="17" spans="1:11" ht="24" customHeight="1">
      <c r="A17" s="4" t="s">
        <v>207</v>
      </c>
      <c r="B17" s="17" t="s">
        <v>338</v>
      </c>
      <c r="C17" s="17" t="s">
        <v>213</v>
      </c>
      <c r="D17" s="4" t="s">
        <v>49</v>
      </c>
      <c r="E17" s="4" t="s">
        <v>33</v>
      </c>
      <c r="F17" s="4" t="s">
        <v>216</v>
      </c>
      <c r="G17" s="4">
        <f t="shared" si="0"/>
        <v>46193</v>
      </c>
      <c r="H17" s="17" t="s">
        <v>339</v>
      </c>
      <c r="I17" s="19">
        <v>2</v>
      </c>
      <c r="J17" s="17" t="s">
        <v>340</v>
      </c>
      <c r="K17" s="4" t="s">
        <v>304</v>
      </c>
    </row>
    <row r="18" spans="1:11" ht="24" customHeight="1">
      <c r="A18" s="7" t="s">
        <v>92</v>
      </c>
      <c r="B18" s="20" t="s">
        <v>341</v>
      </c>
      <c r="C18" s="20" t="s">
        <v>98</v>
      </c>
      <c r="D18" s="7" t="s">
        <v>30</v>
      </c>
      <c r="E18" s="7" t="s">
        <v>104</v>
      </c>
      <c r="F18" s="7" t="s">
        <v>103</v>
      </c>
      <c r="G18" s="7">
        <f t="shared" ref="G18:G23" si="1">EDATE(F18, 6)</f>
        <v>46346</v>
      </c>
      <c r="H18" s="20" t="s">
        <v>342</v>
      </c>
      <c r="I18" s="21">
        <v>1.5</v>
      </c>
      <c r="J18" s="20" t="s">
        <v>343</v>
      </c>
      <c r="K18" s="7" t="s">
        <v>304</v>
      </c>
    </row>
    <row r="19" spans="1:11" ht="24" customHeight="1">
      <c r="A19" s="4" t="s">
        <v>118</v>
      </c>
      <c r="B19" s="17" t="s">
        <v>344</v>
      </c>
      <c r="C19" s="17" t="s">
        <v>122</v>
      </c>
      <c r="D19" s="4" t="s">
        <v>49</v>
      </c>
      <c r="E19" s="4" t="s">
        <v>104</v>
      </c>
      <c r="F19" s="4" t="s">
        <v>126</v>
      </c>
      <c r="G19" s="4">
        <f t="shared" si="1"/>
        <v>46296</v>
      </c>
      <c r="H19" s="17" t="s">
        <v>345</v>
      </c>
      <c r="I19" s="19">
        <v>2</v>
      </c>
      <c r="J19" s="17" t="s">
        <v>346</v>
      </c>
      <c r="K19" s="4" t="s">
        <v>304</v>
      </c>
    </row>
    <row r="20" spans="1:11" ht="24" customHeight="1">
      <c r="A20" s="7" t="s">
        <v>137</v>
      </c>
      <c r="B20" s="20" t="s">
        <v>347</v>
      </c>
      <c r="C20" s="20" t="s">
        <v>143</v>
      </c>
      <c r="D20" s="7" t="s">
        <v>30</v>
      </c>
      <c r="E20" s="7" t="s">
        <v>104</v>
      </c>
      <c r="F20" s="7" t="s">
        <v>146</v>
      </c>
      <c r="G20" s="7">
        <f t="shared" si="1"/>
        <v>46336</v>
      </c>
      <c r="H20" s="20" t="s">
        <v>348</v>
      </c>
      <c r="I20" s="21">
        <v>1.5</v>
      </c>
      <c r="J20" s="20" t="s">
        <v>349</v>
      </c>
      <c r="K20" s="7" t="s">
        <v>304</v>
      </c>
    </row>
    <row r="21" spans="1:11" ht="24" customHeight="1">
      <c r="A21" s="4" t="s">
        <v>185</v>
      </c>
      <c r="B21" s="17" t="s">
        <v>350</v>
      </c>
      <c r="C21" s="17" t="s">
        <v>191</v>
      </c>
      <c r="D21" s="4" t="s">
        <v>49</v>
      </c>
      <c r="E21" s="4" t="s">
        <v>104</v>
      </c>
      <c r="F21" s="4" t="s">
        <v>195</v>
      </c>
      <c r="G21" s="4">
        <f t="shared" si="1"/>
        <v>46327</v>
      </c>
      <c r="H21" s="17" t="s">
        <v>351</v>
      </c>
      <c r="I21" s="19">
        <v>1</v>
      </c>
      <c r="J21" s="17" t="s">
        <v>352</v>
      </c>
      <c r="K21" s="4" t="s">
        <v>304</v>
      </c>
    </row>
    <row r="22" spans="1:11" ht="24" customHeight="1">
      <c r="A22" s="7" t="s">
        <v>197</v>
      </c>
      <c r="B22" s="20" t="s">
        <v>353</v>
      </c>
      <c r="C22" s="20" t="s">
        <v>122</v>
      </c>
      <c r="D22" s="7" t="s">
        <v>30</v>
      </c>
      <c r="E22" s="7" t="s">
        <v>104</v>
      </c>
      <c r="F22" s="7" t="s">
        <v>195</v>
      </c>
      <c r="G22" s="7">
        <f t="shared" si="1"/>
        <v>46327</v>
      </c>
      <c r="H22" s="20" t="s">
        <v>354</v>
      </c>
      <c r="I22" s="21">
        <v>2</v>
      </c>
      <c r="J22" s="20" t="s">
        <v>355</v>
      </c>
      <c r="K22" s="7" t="s">
        <v>304</v>
      </c>
    </row>
    <row r="23" spans="1:11" ht="24" customHeight="1">
      <c r="A23" s="4" t="s">
        <v>244</v>
      </c>
      <c r="B23" s="17" t="s">
        <v>356</v>
      </c>
      <c r="C23" s="17" t="s">
        <v>250</v>
      </c>
      <c r="D23" s="4" t="s">
        <v>49</v>
      </c>
      <c r="E23" s="4" t="s">
        <v>104</v>
      </c>
      <c r="F23" s="4" t="s">
        <v>126</v>
      </c>
      <c r="G23" s="4">
        <f t="shared" si="1"/>
        <v>46296</v>
      </c>
      <c r="H23" s="17" t="s">
        <v>357</v>
      </c>
      <c r="I23" s="19">
        <v>1</v>
      </c>
      <c r="J23" s="17" t="s">
        <v>358</v>
      </c>
      <c r="K23" s="4" t="s">
        <v>304</v>
      </c>
    </row>
    <row r="24" spans="1:11" ht="24" customHeight="1">
      <c r="A24" s="7" t="s">
        <v>106</v>
      </c>
      <c r="B24" s="20" t="s">
        <v>359</v>
      </c>
      <c r="C24" s="20" t="s">
        <v>110</v>
      </c>
      <c r="D24" s="7" t="s">
        <v>49</v>
      </c>
      <c r="E24" s="7" t="s">
        <v>116</v>
      </c>
      <c r="F24" s="7" t="s">
        <v>115</v>
      </c>
      <c r="G24" s="7">
        <f>EDATE(F24, 12)</f>
        <v>46397</v>
      </c>
      <c r="H24" s="20" t="s">
        <v>360</v>
      </c>
      <c r="I24" s="21">
        <v>1</v>
      </c>
      <c r="J24" s="20" t="s">
        <v>361</v>
      </c>
      <c r="K24" s="7" t="s">
        <v>304</v>
      </c>
    </row>
    <row r="25" spans="1:11" ht="24" customHeight="1">
      <c r="A25" s="4" t="s">
        <v>148</v>
      </c>
      <c r="B25" s="17" t="s">
        <v>362</v>
      </c>
      <c r="C25" s="17" t="s">
        <v>153</v>
      </c>
      <c r="D25" s="4" t="s">
        <v>30</v>
      </c>
      <c r="E25" s="4" t="s">
        <v>116</v>
      </c>
      <c r="F25" s="4" t="s">
        <v>32</v>
      </c>
      <c r="G25" s="4">
        <f>EDATE(F25, 12)</f>
        <v>46539</v>
      </c>
      <c r="H25" s="17" t="s">
        <v>363</v>
      </c>
      <c r="I25" s="19">
        <v>1</v>
      </c>
      <c r="J25" s="17" t="s">
        <v>364</v>
      </c>
      <c r="K25" s="4" t="s">
        <v>304</v>
      </c>
    </row>
    <row r="26" spans="1:11" ht="24" customHeight="1">
      <c r="A26" s="7" t="s">
        <v>168</v>
      </c>
      <c r="B26" s="20" t="s">
        <v>365</v>
      </c>
      <c r="C26" s="20" t="s">
        <v>173</v>
      </c>
      <c r="D26" s="7" t="s">
        <v>175</v>
      </c>
      <c r="E26" s="7" t="s">
        <v>116</v>
      </c>
      <c r="F26" s="7" t="s">
        <v>177</v>
      </c>
      <c r="G26" s="7">
        <f>EDATE(F26, 12)</f>
        <v>46296</v>
      </c>
      <c r="H26" s="20" t="s">
        <v>366</v>
      </c>
      <c r="I26" s="21">
        <v>0.5</v>
      </c>
      <c r="J26" s="20" t="s">
        <v>367</v>
      </c>
      <c r="K26" s="7" t="s">
        <v>304</v>
      </c>
    </row>
    <row r="27" spans="1:11" ht="24" customHeight="1">
      <c r="A27" s="4" t="s">
        <v>218</v>
      </c>
      <c r="B27" s="17" t="s">
        <v>368</v>
      </c>
      <c r="C27" s="17" t="s">
        <v>224</v>
      </c>
      <c r="D27" s="4" t="s">
        <v>175</v>
      </c>
      <c r="E27" s="4" t="s">
        <v>116</v>
      </c>
      <c r="F27" s="4" t="s">
        <v>229</v>
      </c>
      <c r="G27" s="4">
        <f>EDATE(F27, 12)</f>
        <v>46310</v>
      </c>
      <c r="H27" s="17" t="s">
        <v>369</v>
      </c>
      <c r="I27" s="19">
        <v>0.5</v>
      </c>
      <c r="J27" s="17" t="s">
        <v>370</v>
      </c>
      <c r="K27" s="4" t="s">
        <v>304</v>
      </c>
    </row>
    <row r="28" spans="1:11" ht="22.05" customHeight="1">
      <c r="A28" s="10" t="s">
        <v>371</v>
      </c>
      <c r="B28" s="11"/>
      <c r="C28" s="11"/>
      <c r="D28" s="11"/>
      <c r="E28" s="11"/>
      <c r="F28" s="11"/>
      <c r="G28" s="11"/>
      <c r="H28" s="11"/>
      <c r="I28" s="22">
        <f>SUM(I5:I27)</f>
        <v>37.5</v>
      </c>
      <c r="J28" s="11"/>
      <c r="K2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Registry</vt:lpstr>
      <vt:lpstr>Maintenance Overview</vt:lpstr>
      <vt:lpstr>PM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Pimentel</cp:lastModifiedBy>
  <dcterms:created xsi:type="dcterms:W3CDTF">2026-07-25T01:58:03Z</dcterms:created>
  <dcterms:modified xsi:type="dcterms:W3CDTF">2026-07-26T03:32:55Z</dcterms:modified>
</cp:coreProperties>
</file>